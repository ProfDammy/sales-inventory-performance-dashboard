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659AB98-4931-464F-89C6-18AF46A55292}" xr6:coauthVersionLast="47" xr6:coauthVersionMax="47" xr10:uidLastSave="{00000000-0000-0000-0000-000000000000}"/>
  <bookViews>
    <workbookView xWindow="-120" yWindow="-120" windowWidth="20730" windowHeight="11760" xr2:uid="{CF1EB965-36C1-4A64-8073-88EC99585483}"/>
  </bookViews>
  <sheets>
    <sheet name="Sales_monthly_targets" sheetId="1" r:id="rId1"/>
  </sheets>
  <definedNames>
    <definedName name="ExternalData_2" localSheetId="0" hidden="1">Sales_monthly_targets!$A$1:$L$22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monthly_targets-0835fa38-6307-49bb-b854-7bb702673561" name="Sales_monthly_targets" connection="Query - Sales_monthly_targets"/>
        </x15:modelTables>
        <x15:extLst>
          <ext xmlns:x16="http://schemas.microsoft.com/office/spreadsheetml/2014/11/main" uri="{9835A34E-60A6-4A7C-AAB8-D5F71C897F49}">
            <x16:modelTimeGroupings>
              <x16:modelTimeGrouping tableName="Sales_monthly_targets" columnName="YearMonth" columnId="YearMonth">
                <x16:calculatedTimeColumn columnName="YearMonth (Year)" columnId="YearMonth (Year)" contentType="years" isSelected="1"/>
                <x16:calculatedTimeColumn columnName="YearMonth (Quarter)" columnId="YearMonth (Quarter)" contentType="quarters" isSelected="1"/>
                <x16:calculatedTimeColumn columnName="YearMonth (Month Index)" columnId="YearMonth (Month Index)" contentType="monthsindex" isSelected="1"/>
                <x16:calculatedTimeColumn columnName="YearMonth (Month)" columnId="YearMonth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7CE80-385C-4AE9-B6E7-CD37051FAF65}" keepAlive="1" name="ModelConnection_ExternalData_2" description="Data Model" type="5" refreshedVersion="7" minRefreshableVersion="5" saveData="1">
    <dbPr connection="Data Model Connection" command="Sales_monthly_targe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08CC5FB-41E1-40B6-BE01-DE2ED2448F37}" name="Query - Sales_monthly_targets" description="Connection to the 'Sales_monthly_targets' query in the workbook." type="100" refreshedVersion="7" minRefreshableVersion="5">
    <extLst>
      <ext xmlns:x15="http://schemas.microsoft.com/office/spreadsheetml/2010/11/main" uri="{DE250136-89BD-433C-8126-D09CA5730AF9}">
        <x15:connection id="43c487db-14cd-4a42-8e1f-400c7dbd5f9e">
          <x15:oledbPr connection="Provider=Microsoft.Mashup.OleDb.1;Data Source=$Workbook$;Location=Sales_monthly_targets;Extended Properties=&quot;&quot;">
            <x15:dbTables>
              <x15:dbTable name="Sales_monthly_targets"/>
            </x15:dbTables>
          </x15:oledbPr>
        </x15:connection>
      </ext>
    </extLst>
  </connection>
  <connection id="3" xr16:uid="{02258357-6466-4A07-B87F-7F02347EE44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<sst xmlns="http://schemas.openxmlformats.org/spreadsheetml/2006/main" count="75" uniqueCount="30">
  <si>
    <t>YearMonth</t>
  </si>
  <si>
    <t>Year</t>
  </si>
  <si>
    <t>MonthNum</t>
  </si>
  <si>
    <t>Month_Key</t>
  </si>
  <si>
    <t>TargetSales</t>
  </si>
  <si>
    <t>TargetInventoryDays</t>
  </si>
  <si>
    <t>TargetReceivableDays</t>
  </si>
  <si>
    <t>YearMonth (Year)</t>
  </si>
  <si>
    <t>YearMonth (Quarter)</t>
  </si>
  <si>
    <t>YearMonth (Month Index)</t>
  </si>
  <si>
    <t>YearMonth (Month)</t>
  </si>
  <si>
    <t>YearMonth2</t>
  </si>
  <si>
    <t>2024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</si>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</sst>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2EA1F946-44B5-4BD7-BD93-B684E23A6552}" autoFormatId="16" applyNumberFormats="0" applyBorderFormats="0" applyFontFormats="0" applyPatternFormats="0" applyAlignmentFormats="0" applyWidthHeightFormats="0">
  <queryTableRefresh nextId="13">
    <queryTableFields count="12">
      <queryTableField id="1" name="YearMonth" tableColumnId="1"/>
      <queryTableField id="2" name="Year" tableColumnId="2"/>
      <queryTableField id="3" name="MonthNum" tableColumnId="3"/>
      <queryTableField id="12" dataBound="0" tableColumnId="12"/>
      <queryTableField id="4" name="TargetSales" tableColumnId="4"/>
      <queryTableField id="5" name="TargetInventoryDays" tableColumnId="5"/>
      <queryTableField id="6" name="TargetReceivableDays" tableColumnId="6"/>
      <queryTableField id="7" name="YearMonth (Year)" tableColumnId="7"/>
      <queryTableField id="8" name="YearMonth (Quarter)" tableColumnId="8"/>
      <queryTableField id="9" name="YearMonth (Month Index)" tableColumnId="9"/>
      <queryTableField id="10" name="YearMonth (Month)" tableColumnId="10"/>
      <queryTableField id="11" name="YearMonth2" tableColumnId="11"/>
    </queryTableFields>
  </queryTableRefresh>
  <extLst>
    <ext xmlns:x15="http://schemas.microsoft.com/office/spreadsheetml/2010/11/main" uri="{883FBD77-0823-4a55-B5E3-86C4891E6966}">
      <x15:queryTable sourceDataName="Query - Sales_monthly_targe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4D55B-6728-4D08-A5B6-32D4870BBD54}" name="Targets" displayName="Targets" ref="A1:L22" tableType="queryTable" totalsRowShown="0">
  <autoFilter ref="A1:L22" xr:uid="{DEE5A8FD-6CFE-44FC-B6BA-D5C5135EB082}"/>
  <tableColumns count="12">
    <tableColumn id="1" xr3:uid="{4BB82813-7B4B-4C9C-8E97-0CDE3EF560BA}" uniqueName="1" name="YearMonth" queryTableFieldId="1" dataDxfId="3"/>
    <tableColumn id="2" xr3:uid="{A42DB048-A5EC-4B6F-8DF8-27A6FC0F47A5}" uniqueName="2" name="Year" queryTableFieldId="2"/>
    <tableColumn id="3" xr3:uid="{C4C81926-77C1-4B84-9F07-866A8784DD23}" uniqueName="3" name="MonthNum" queryTableFieldId="3"/>
    <tableColumn id="12" xr3:uid="{A5C4CAC7-F21D-4FAF-BB5B-F5F5A797FB1D}" uniqueName="12" name="Month_Key" queryTableFieldId="12" dataDxfId="2">
      <calculatedColumnFormula>DATE(Targets[[#This Row],[Year]], Targets[[#This Row],[YearMonth (Month Index)]], 1)</calculatedColumnFormula>
    </tableColumn>
    <tableColumn id="4" xr3:uid="{E73D9A40-7360-4673-9F57-7FD24F8E7178}" uniqueName="4" name="TargetSales" queryTableFieldId="4"/>
    <tableColumn id="5" xr3:uid="{915720B8-258D-4570-A2E6-7A3E2367AEF8}" uniqueName="5" name="TargetInventoryDays" queryTableFieldId="5"/>
    <tableColumn id="6" xr3:uid="{685A7476-FDD8-4500-AA73-AC641ABD3A19}" uniqueName="6" name="TargetReceivableDays" queryTableFieldId="6"/>
    <tableColumn id="7" xr3:uid="{CB7F7E62-7A7D-4BAD-9B3E-E91EA1041023}" uniqueName="7" name="YearMonth (Year)" queryTableFieldId="7"/>
    <tableColumn id="8" xr3:uid="{887A2D95-FAF7-4CF3-8B5A-F855C140161E}" uniqueName="8" name="YearMonth (Quarter)" queryTableFieldId="8"/>
    <tableColumn id="9" xr3:uid="{79FB2C9F-6F58-4F7F-8D8B-0352CC926098}" uniqueName="9" name="YearMonth (Month Index)" queryTableFieldId="9"/>
    <tableColumn id="10" xr3:uid="{9944854E-40EE-4499-BAD1-66D7E229F24C}" uniqueName="10" name="YearMonth (Month)" queryTableFieldId="10" dataDxfId="1"/>
    <tableColumn id="11" xr3:uid="{B2361B72-82DB-4899-8D53-AADA78242715}" uniqueName="11" name="YearMonth2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5146-D07C-47A7-A370-F4822B290154}">
  <dimension ref="A1:L22"/>
  <sheetViews>
    <sheetView tabSelected="1" workbookViewId="0">
      <selection activeCell="A2" sqref="A2:L22"/>
    </sheetView>
  </sheetViews>
  <sheetFormatPr defaultRowHeight="15" x14ac:dyDescent="0.25"/>
  <cols>
    <col min="1" max="1" width="13.28515625" bestFit="1" customWidth="1"/>
    <col min="2" max="2" width="7.28515625" bestFit="1" customWidth="1"/>
    <col min="3" max="3" width="13.5703125" bestFit="1" customWidth="1"/>
    <col min="4" max="4" width="13.5703125" customWidth="1"/>
    <col min="5" max="5" width="13.42578125" bestFit="1" customWidth="1"/>
    <col min="6" max="6" width="21.85546875" bestFit="1" customWidth="1"/>
    <col min="7" max="7" width="23" bestFit="1" customWidth="1"/>
    <col min="8" max="8" width="19.28515625" bestFit="1" customWidth="1"/>
    <col min="9" max="9" width="22.28515625" bestFit="1" customWidth="1"/>
    <col min="10" max="10" width="27" bestFit="1" customWidth="1"/>
    <col min="11" max="11" width="21.42578125" bestFit="1" customWidth="1"/>
    <col min="12" max="12" width="14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45292</v>
      </c>
      <c r="B2">
        <v>2024</v>
      </c>
      <c r="C2">
        <v>1</v>
      </c>
      <c r="D2" s="1">
        <f>DATE(Targets[[#This Row],[Year]], Targets[[#This Row],[YearMonth (Month Index)]], 1)</f>
        <v>45292</v>
      </c>
      <c r="E2">
        <v>1868092</v>
      </c>
      <c r="F2">
        <v>101</v>
      </c>
      <c r="G2">
        <v>66</v>
      </c>
      <c r="H2" t="s">
        <v>12</v>
      </c>
      <c r="I2" t="s">
        <v>13</v>
      </c>
      <c r="J2">
        <v>1</v>
      </c>
      <c r="K2" s="1" t="s">
        <v>14</v>
      </c>
      <c r="L2" s="1">
        <v>247692</v>
      </c>
    </row>
    <row r="3" spans="1:12" x14ac:dyDescent="0.25">
      <c r="A3" s="1">
        <v>45323</v>
      </c>
      <c r="B3">
        <v>2024</v>
      </c>
      <c r="C3">
        <v>2</v>
      </c>
      <c r="D3" s="1">
        <f>DATE(Targets[[#This Row],[Year]], Targets[[#This Row],[YearMonth (Month Index)]], 1)</f>
        <v>45323</v>
      </c>
      <c r="E3">
        <v>1614707</v>
      </c>
      <c r="F3">
        <v>94</v>
      </c>
      <c r="G3">
        <v>69</v>
      </c>
      <c r="H3" t="s">
        <v>12</v>
      </c>
      <c r="I3" t="s">
        <v>13</v>
      </c>
      <c r="J3">
        <v>2</v>
      </c>
      <c r="K3" s="1" t="s">
        <v>15</v>
      </c>
      <c r="L3" s="1">
        <v>247723</v>
      </c>
    </row>
    <row r="4" spans="1:12" x14ac:dyDescent="0.25">
      <c r="A4" s="1">
        <v>45352</v>
      </c>
      <c r="B4">
        <v>2024</v>
      </c>
      <c r="C4">
        <v>3</v>
      </c>
      <c r="D4" s="1">
        <f>DATE(Targets[[#This Row],[Year]], Targets[[#This Row],[YearMonth (Month Index)]], 1)</f>
        <v>45352</v>
      </c>
      <c r="E4">
        <v>1932630</v>
      </c>
      <c r="F4">
        <v>108</v>
      </c>
      <c r="G4">
        <v>71</v>
      </c>
      <c r="H4" t="s">
        <v>12</v>
      </c>
      <c r="I4" t="s">
        <v>13</v>
      </c>
      <c r="J4">
        <v>3</v>
      </c>
      <c r="K4" s="1" t="s">
        <v>16</v>
      </c>
      <c r="L4" s="1">
        <v>247752</v>
      </c>
    </row>
    <row r="5" spans="1:12" x14ac:dyDescent="0.25">
      <c r="A5" s="1">
        <v>45383</v>
      </c>
      <c r="B5">
        <v>2024</v>
      </c>
      <c r="C5">
        <v>4</v>
      </c>
      <c r="D5" s="1">
        <f>DATE(Targets[[#This Row],[Year]], Targets[[#This Row],[YearMonth (Month Index)]], 1)</f>
        <v>45383</v>
      </c>
      <c r="E5">
        <v>1511949</v>
      </c>
      <c r="F5">
        <v>109</v>
      </c>
      <c r="G5">
        <v>71</v>
      </c>
      <c r="H5" t="s">
        <v>12</v>
      </c>
      <c r="I5" t="s">
        <v>17</v>
      </c>
      <c r="J5">
        <v>4</v>
      </c>
      <c r="K5" s="1" t="s">
        <v>18</v>
      </c>
      <c r="L5" s="1">
        <v>247783</v>
      </c>
    </row>
    <row r="6" spans="1:12" x14ac:dyDescent="0.25">
      <c r="A6" s="1">
        <v>45413</v>
      </c>
      <c r="B6">
        <v>2024</v>
      </c>
      <c r="C6">
        <v>5</v>
      </c>
      <c r="D6" s="1">
        <f>DATE(Targets[[#This Row],[Year]], Targets[[#This Row],[YearMonth (Month Index)]], 1)</f>
        <v>45413</v>
      </c>
      <c r="E6">
        <v>1870768</v>
      </c>
      <c r="F6">
        <v>93</v>
      </c>
      <c r="G6">
        <v>61</v>
      </c>
      <c r="H6" t="s">
        <v>12</v>
      </c>
      <c r="I6" t="s">
        <v>17</v>
      </c>
      <c r="J6">
        <v>5</v>
      </c>
      <c r="K6" s="1" t="s">
        <v>19</v>
      </c>
      <c r="L6" s="1">
        <v>247813</v>
      </c>
    </row>
    <row r="7" spans="1:12" x14ac:dyDescent="0.25">
      <c r="A7" s="1">
        <v>45444</v>
      </c>
      <c r="B7">
        <v>2024</v>
      </c>
      <c r="C7">
        <v>6</v>
      </c>
      <c r="D7" s="1">
        <f>DATE(Targets[[#This Row],[Year]], Targets[[#This Row],[YearMonth (Month Index)]], 1)</f>
        <v>45444</v>
      </c>
      <c r="E7">
        <v>1721616</v>
      </c>
      <c r="F7">
        <v>103</v>
      </c>
      <c r="G7">
        <v>74</v>
      </c>
      <c r="H7" t="s">
        <v>12</v>
      </c>
      <c r="I7" t="s">
        <v>17</v>
      </c>
      <c r="J7">
        <v>6</v>
      </c>
      <c r="K7" s="1" t="s">
        <v>20</v>
      </c>
      <c r="L7" s="1">
        <v>247844</v>
      </c>
    </row>
    <row r="8" spans="1:12" x14ac:dyDescent="0.25">
      <c r="A8" s="1">
        <v>45474</v>
      </c>
      <c r="B8">
        <v>2024</v>
      </c>
      <c r="C8">
        <v>7</v>
      </c>
      <c r="D8" s="1">
        <f>DATE(Targets[[#This Row],[Year]], Targets[[#This Row],[YearMonth (Month Index)]], 1)</f>
        <v>45474</v>
      </c>
      <c r="E8">
        <v>1612075</v>
      </c>
      <c r="F8">
        <v>86</v>
      </c>
      <c r="G8">
        <v>65</v>
      </c>
      <c r="H8" t="s">
        <v>12</v>
      </c>
      <c r="I8" t="s">
        <v>21</v>
      </c>
      <c r="J8">
        <v>7</v>
      </c>
      <c r="K8" s="1" t="s">
        <v>22</v>
      </c>
      <c r="L8" s="1">
        <v>247874</v>
      </c>
    </row>
    <row r="9" spans="1:12" x14ac:dyDescent="0.25">
      <c r="A9" s="1">
        <v>45505</v>
      </c>
      <c r="B9">
        <v>2024</v>
      </c>
      <c r="C9">
        <v>8</v>
      </c>
      <c r="D9" s="1">
        <f>DATE(Targets[[#This Row],[Year]], Targets[[#This Row],[YearMonth (Month Index)]], 1)</f>
        <v>45505</v>
      </c>
      <c r="E9">
        <v>1596890</v>
      </c>
      <c r="F9">
        <v>96</v>
      </c>
      <c r="G9">
        <v>61</v>
      </c>
      <c r="H9" t="s">
        <v>12</v>
      </c>
      <c r="I9" t="s">
        <v>21</v>
      </c>
      <c r="J9">
        <v>8</v>
      </c>
      <c r="K9" s="1" t="s">
        <v>23</v>
      </c>
      <c r="L9" s="1">
        <v>247905</v>
      </c>
    </row>
    <row r="10" spans="1:12" x14ac:dyDescent="0.25">
      <c r="A10" s="1">
        <v>45536</v>
      </c>
      <c r="B10">
        <v>2024</v>
      </c>
      <c r="C10">
        <v>9</v>
      </c>
      <c r="D10" s="1">
        <f>DATE(Targets[[#This Row],[Year]], Targets[[#This Row],[YearMonth (Month Index)]], 1)</f>
        <v>45536</v>
      </c>
      <c r="E10">
        <v>2003178</v>
      </c>
      <c r="F10">
        <v>88</v>
      </c>
      <c r="G10">
        <v>66</v>
      </c>
      <c r="H10" t="s">
        <v>12</v>
      </c>
      <c r="I10" t="s">
        <v>21</v>
      </c>
      <c r="J10">
        <v>9</v>
      </c>
      <c r="K10" s="1" t="s">
        <v>24</v>
      </c>
      <c r="L10" s="1">
        <v>247936</v>
      </c>
    </row>
    <row r="11" spans="1:12" x14ac:dyDescent="0.25">
      <c r="A11" s="1">
        <v>45566</v>
      </c>
      <c r="B11">
        <v>2024</v>
      </c>
      <c r="C11">
        <v>10</v>
      </c>
      <c r="D11" s="1">
        <f>DATE(Targets[[#This Row],[Year]], Targets[[#This Row],[YearMonth (Month Index)]], 1)</f>
        <v>45566</v>
      </c>
      <c r="E11">
        <v>1446166</v>
      </c>
      <c r="F11">
        <v>88</v>
      </c>
      <c r="G11">
        <v>64</v>
      </c>
      <c r="H11" t="s">
        <v>12</v>
      </c>
      <c r="I11" t="s">
        <v>25</v>
      </c>
      <c r="J11">
        <v>10</v>
      </c>
      <c r="K11" s="1" t="s">
        <v>26</v>
      </c>
      <c r="L11" s="1">
        <v>247966</v>
      </c>
    </row>
    <row r="12" spans="1:12" x14ac:dyDescent="0.25">
      <c r="A12" s="1">
        <v>45597</v>
      </c>
      <c r="B12">
        <v>2024</v>
      </c>
      <c r="C12">
        <v>11</v>
      </c>
      <c r="D12" s="1">
        <f>DATE(Targets[[#This Row],[Year]], Targets[[#This Row],[YearMonth (Month Index)]], 1)</f>
        <v>45597</v>
      </c>
      <c r="E12">
        <v>1805766</v>
      </c>
      <c r="F12">
        <v>89</v>
      </c>
      <c r="G12">
        <v>60</v>
      </c>
      <c r="H12" t="s">
        <v>12</v>
      </c>
      <c r="I12" t="s">
        <v>25</v>
      </c>
      <c r="J12">
        <v>11</v>
      </c>
      <c r="K12" s="1" t="s">
        <v>27</v>
      </c>
      <c r="L12" s="1">
        <v>247997</v>
      </c>
    </row>
    <row r="13" spans="1:12" x14ac:dyDescent="0.25">
      <c r="A13" s="1">
        <v>45627</v>
      </c>
      <c r="B13">
        <v>2024</v>
      </c>
      <c r="C13">
        <v>12</v>
      </c>
      <c r="D13" s="1">
        <f>DATE(Targets[[#This Row],[Year]], Targets[[#This Row],[YearMonth (Month Index)]], 1)</f>
        <v>45627</v>
      </c>
      <c r="E13">
        <v>1879006</v>
      </c>
      <c r="F13">
        <v>98</v>
      </c>
      <c r="G13">
        <v>72</v>
      </c>
      <c r="H13" t="s">
        <v>12</v>
      </c>
      <c r="I13" t="s">
        <v>25</v>
      </c>
      <c r="J13">
        <v>12</v>
      </c>
      <c r="K13" s="1" t="s">
        <v>28</v>
      </c>
      <c r="L13" s="1">
        <v>248027</v>
      </c>
    </row>
    <row r="14" spans="1:12" x14ac:dyDescent="0.25">
      <c r="A14" s="1">
        <v>45658</v>
      </c>
      <c r="B14">
        <v>2025</v>
      </c>
      <c r="C14">
        <v>1</v>
      </c>
      <c r="D14" s="1">
        <f>DATE(Targets[[#This Row],[Year]], Targets[[#This Row],[YearMonth (Month Index)]], 1)</f>
        <v>45658</v>
      </c>
      <c r="E14">
        <v>1840666</v>
      </c>
      <c r="F14">
        <v>87</v>
      </c>
      <c r="G14">
        <v>75</v>
      </c>
      <c r="H14" t="s">
        <v>29</v>
      </c>
      <c r="I14" t="s">
        <v>13</v>
      </c>
      <c r="J14">
        <v>1</v>
      </c>
      <c r="K14" s="1" t="s">
        <v>14</v>
      </c>
      <c r="L14" s="1">
        <v>248158</v>
      </c>
    </row>
    <row r="15" spans="1:12" x14ac:dyDescent="0.25">
      <c r="A15" s="1">
        <v>45689</v>
      </c>
      <c r="B15">
        <v>2025</v>
      </c>
      <c r="C15">
        <v>2</v>
      </c>
      <c r="D15" s="1">
        <f>DATE(Targets[[#This Row],[Year]], Targets[[#This Row],[YearMonth (Month Index)]], 1)</f>
        <v>45689</v>
      </c>
      <c r="E15">
        <v>1528773</v>
      </c>
      <c r="F15">
        <v>90</v>
      </c>
      <c r="G15">
        <v>72</v>
      </c>
      <c r="H15" t="s">
        <v>29</v>
      </c>
      <c r="I15" t="s">
        <v>13</v>
      </c>
      <c r="J15">
        <v>2</v>
      </c>
      <c r="K15" s="1" t="s">
        <v>15</v>
      </c>
      <c r="L15" s="1">
        <v>248189</v>
      </c>
    </row>
    <row r="16" spans="1:12" x14ac:dyDescent="0.25">
      <c r="A16" s="1">
        <v>45717</v>
      </c>
      <c r="B16">
        <v>2025</v>
      </c>
      <c r="C16">
        <v>3</v>
      </c>
      <c r="D16" s="1">
        <f>DATE(Targets[[#This Row],[Year]], Targets[[#This Row],[YearMonth (Month Index)]], 1)</f>
        <v>45717</v>
      </c>
      <c r="E16">
        <v>1964459</v>
      </c>
      <c r="F16">
        <v>86</v>
      </c>
      <c r="G16">
        <v>65</v>
      </c>
      <c r="H16" t="s">
        <v>29</v>
      </c>
      <c r="I16" t="s">
        <v>13</v>
      </c>
      <c r="J16">
        <v>3</v>
      </c>
      <c r="K16" s="1" t="s">
        <v>16</v>
      </c>
      <c r="L16" s="1">
        <v>248217</v>
      </c>
    </row>
    <row r="17" spans="1:12" x14ac:dyDescent="0.25">
      <c r="A17" s="1">
        <v>45748</v>
      </c>
      <c r="B17">
        <v>2025</v>
      </c>
      <c r="C17">
        <v>4</v>
      </c>
      <c r="D17" s="1">
        <f>DATE(Targets[[#This Row],[Year]], Targets[[#This Row],[YearMonth (Month Index)]], 1)</f>
        <v>45748</v>
      </c>
      <c r="E17">
        <v>1608711</v>
      </c>
      <c r="F17">
        <v>109</v>
      </c>
      <c r="G17">
        <v>70</v>
      </c>
      <c r="H17" t="s">
        <v>29</v>
      </c>
      <c r="I17" t="s">
        <v>17</v>
      </c>
      <c r="J17">
        <v>4</v>
      </c>
      <c r="K17" s="1" t="s">
        <v>18</v>
      </c>
      <c r="L17" s="1">
        <v>248248</v>
      </c>
    </row>
    <row r="18" spans="1:12" x14ac:dyDescent="0.25">
      <c r="A18" s="1">
        <v>45778</v>
      </c>
      <c r="B18">
        <v>2025</v>
      </c>
      <c r="C18">
        <v>5</v>
      </c>
      <c r="D18" s="1">
        <f>DATE(Targets[[#This Row],[Year]], Targets[[#This Row],[YearMonth (Month Index)]], 1)</f>
        <v>45778</v>
      </c>
      <c r="E18">
        <v>2050165</v>
      </c>
      <c r="F18">
        <v>101</v>
      </c>
      <c r="G18">
        <v>72</v>
      </c>
      <c r="H18" t="s">
        <v>29</v>
      </c>
      <c r="I18" t="s">
        <v>17</v>
      </c>
      <c r="J18">
        <v>5</v>
      </c>
      <c r="K18" s="1" t="s">
        <v>19</v>
      </c>
      <c r="L18" s="1">
        <v>248278</v>
      </c>
    </row>
    <row r="19" spans="1:12" x14ac:dyDescent="0.25">
      <c r="A19" s="1">
        <v>45809</v>
      </c>
      <c r="B19">
        <v>2025</v>
      </c>
      <c r="C19">
        <v>6</v>
      </c>
      <c r="D19" s="1">
        <f>DATE(Targets[[#This Row],[Year]], Targets[[#This Row],[YearMonth (Month Index)]], 1)</f>
        <v>45809</v>
      </c>
      <c r="E19">
        <v>1769802</v>
      </c>
      <c r="F19">
        <v>90</v>
      </c>
      <c r="G19">
        <v>58</v>
      </c>
      <c r="H19" t="s">
        <v>29</v>
      </c>
      <c r="I19" t="s">
        <v>17</v>
      </c>
      <c r="J19">
        <v>6</v>
      </c>
      <c r="K19" s="1" t="s">
        <v>20</v>
      </c>
      <c r="L19" s="1">
        <v>248309</v>
      </c>
    </row>
    <row r="20" spans="1:12" x14ac:dyDescent="0.25">
      <c r="A20" s="1">
        <v>45839</v>
      </c>
      <c r="B20">
        <v>2025</v>
      </c>
      <c r="C20">
        <v>7</v>
      </c>
      <c r="D20" s="1">
        <f>DATE(Targets[[#This Row],[Year]], Targets[[#This Row],[YearMonth (Month Index)]], 1)</f>
        <v>45839</v>
      </c>
      <c r="E20">
        <v>1599954</v>
      </c>
      <c r="F20">
        <v>111</v>
      </c>
      <c r="G20">
        <v>64</v>
      </c>
      <c r="H20" t="s">
        <v>29</v>
      </c>
      <c r="I20" t="s">
        <v>21</v>
      </c>
      <c r="J20">
        <v>7</v>
      </c>
      <c r="K20" s="1" t="s">
        <v>22</v>
      </c>
      <c r="L20" s="1">
        <v>248339</v>
      </c>
    </row>
    <row r="21" spans="1:12" x14ac:dyDescent="0.25">
      <c r="A21" s="1">
        <v>45870</v>
      </c>
      <c r="B21">
        <v>2025</v>
      </c>
      <c r="C21">
        <v>8</v>
      </c>
      <c r="D21" s="1">
        <f>DATE(Targets[[#This Row],[Year]], Targets[[#This Row],[YearMonth (Month Index)]], 1)</f>
        <v>45870</v>
      </c>
      <c r="E21">
        <v>1974152</v>
      </c>
      <c r="F21">
        <v>99</v>
      </c>
      <c r="G21">
        <v>68</v>
      </c>
      <c r="H21" t="s">
        <v>29</v>
      </c>
      <c r="I21" t="s">
        <v>21</v>
      </c>
      <c r="J21">
        <v>8</v>
      </c>
      <c r="K21" s="1" t="s">
        <v>23</v>
      </c>
      <c r="L21" s="1">
        <v>248370</v>
      </c>
    </row>
    <row r="22" spans="1:12" x14ac:dyDescent="0.25">
      <c r="A22" s="1">
        <v>45901</v>
      </c>
      <c r="B22">
        <v>2025</v>
      </c>
      <c r="C22">
        <v>9</v>
      </c>
      <c r="D22" s="1">
        <f>DATE(Targets[[#This Row],[Year]], Targets[[#This Row],[YearMonth (Month Index)]], 1)</f>
        <v>45901</v>
      </c>
      <c r="E22">
        <v>1581783</v>
      </c>
      <c r="F22">
        <v>88</v>
      </c>
      <c r="G22">
        <v>75</v>
      </c>
      <c r="H22" t="s">
        <v>29</v>
      </c>
      <c r="I22" t="s">
        <v>21</v>
      </c>
      <c r="J22">
        <v>9</v>
      </c>
      <c r="K22" s="1" t="s">
        <v>24</v>
      </c>
      <c r="L22" s="1">
        <v>248401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5F769E-C48F-4116-AFED-6BC4C9983B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Sales_monthly_targets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Oluwagbamila</dc:creator>
  <cp:lastModifiedBy>Damilola Oluwagbamila</cp:lastModifiedBy>
  <dcterms:created xsi:type="dcterms:W3CDTF">2026-03-22T11:46:22Z</dcterms:created>
  <dcterms:modified xsi:type="dcterms:W3CDTF">2026-03-22T11:46:40Z</dcterms:modified>
</cp:coreProperties>
</file>